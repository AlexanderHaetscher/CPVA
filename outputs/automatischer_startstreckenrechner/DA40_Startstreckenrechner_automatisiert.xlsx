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5f260796f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gaben" sheetId="1" r:id="Rdcb9d8f8f8c043dd"/>
    <x:sheet xmlns:r="http://schemas.openxmlformats.org/officeDocument/2006/relationships" name="Lookup_Base" sheetId="2" r:id="R496226a1a14142c9"/>
    <x:sheet xmlns:r="http://schemas.openxmlformats.org/officeDocument/2006/relationships" name="Lookup_Masse" sheetId="3" r:id="R55212071e5f549bb"/>
    <x:sheet xmlns:r="http://schemas.openxmlformats.org/officeDocument/2006/relationships" name="Lookup_Wind" sheetId="4" r:id="R09614e003c634913"/>
    <x:sheet xmlns:r="http://schemas.openxmlformats.org/officeDocument/2006/relationships" name="Lookup_Hindernis" sheetId="5" r:id="R88bdcb96ebcc4eab"/>
    <x:sheet xmlns:r="http://schemas.openxmlformats.org/officeDocument/2006/relationships" name="Korrekturen" sheetId="6" r:id="R3fff2a54a2ea4079"/>
    <x:sheet xmlns:r="http://schemas.openxmlformats.org/officeDocument/2006/relationships" name="Berechnung" sheetId="7" r:id="R801a960f28d54314"/>
    <x:sheet xmlns:r="http://schemas.openxmlformats.org/officeDocument/2006/relationships" name="Ergebnis" sheetId="8" r:id="R1807bb74082b49a2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<x:sst xmlns:x="http://schemas.openxmlformats.org/spreadsheetml/2006/main">
  <x:si>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</x:si>
  <x:si>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Wert</x:t>
  </x:si>
  <x:si>
    <x:t xml:space="preserve">Einheit</x:t>
  </x:si>
  <x:si>
    <x:t xml:space="preserve">Pressure Altitude</x:t>
  </x:si>
  <x:si>
    <x:t xml:space="preserve">ft</x:t>
  </x:si>
  <x:si>
    <x:t xml:space="preserve">Außentemperatur</x:t>
  </x:si>
  <x:si>
    <x:t xml:space="preserve">°C</x:t>
  </x:si>
  <x:si>
    <x:t xml:space="preserve">Masse</x:t>
  </x:si>
  <x:si>
    <x:t xml:space="preserve">kg</x:t>
  </x:si>
  <x:si>
    <x:t xml:space="preserve">Windkomponente</x:t>
  </x:si>
  <x:si>
    <x:t xml:space="preserve">kt</x:t>
  </x:si>
  <x:si>
    <x:t xml:space="preserve">Hindernishöhe</x:t>
  </x:si>
  <x:si>
    <x:t xml:space="preserve">PA [ft]</x:t>
  </x:si>
  <x:si>
    <x:t xml:space="preserve"> °C</x:t>
  </x:si>
  <x:si>
    <x:t xml:space="preserve">Masse [kg]</x:t>
  </x:si>
  <x:si>
    <x:t xml:space="preserve">m</x:t>
  </x:si>
  <x:si>
    <x:t xml:space="preserve">Wind [kt]</x:t>
  </x:si>
  <x:si>
    <x:t xml:space="preserve">Hindernis [ft]</x:t>
  </x:si>
</x:sst>
</file>

<file path=xl/styles.xml><?xml version="1.0" encoding="utf-8"?>
<x:styleSheet xmlns:x="http://schemas.openxmlformats.org/spreadsheetml/2006/main">
  <x:numFmts count="3">
    <x:numFmt numFmtId="200" formatCode="0.00&quot;x&quot;"/>
    <x:numFmt numFmtId="201" formatCode="#,##0.0"/>
    <x:numFmt numFmtId="202" formatCode="#,##0"/>
  </x:numFmts>
  <x:fonts count="8">
    <x:font>
      <x:sz val="11"/>
      <x:color theme="1"/>
      <x:name val="Calibri"/>
    </x:font>
    <x:font>
      <x:b/>
      <x:sz val="11"/>
      <x:name val="Calibri"/>
    </x:font>
    <x:font>
      <x:b/>
      <x:sz val="11"/>
      <x:name val="Calibri"/>
    </x:font>
    <x:font>
      <x:sz val="11"/>
      <x:color rgb="FF000000"/>
      <x:name val="Calibri"/>
    </x:font>
    <x:font>
      <x:b/>
      <x:sz val="12"/>
      <x:color theme="1"/>
      <x:name val="Calibri"/>
    </x:font>
    <x:font>
      <x:b/>
      <x:sz val="11"/>
      <x:color theme="1"/>
      <x:name val="Calibri"/>
    </x:font>
    <x:font>
      <x:b/>
      <x:sz val="11"/>
      <x:color rgb="FF1F1F1F"/>
      <x:name val="Calibri"/>
    </x:font>
    <x:font>
      <x:b/>
      <x:sz val="14"/>
      <x:color rgb="FF1F1F1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DDEBD7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/>
    <x:xf numFmtId="0" fontId="1" fillId="0" borderId="0" xfId="0" applyFont="1"/>
    <x:xf numFmtId="0" fontId="2" fillId="0" borderId="0" xfId="0" applyFont="1"/>
    <x:xf numFmtId="0" fontId="3" fillId="0" borderId="0" xfId="0" applyFont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2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202" fontId="7" fillId="4" borderId="4" xfId="0" applyNumberFormat="1" applyFont="1" applyFill="1" applyBorder="1" applyAlignment="1">
      <x:alignment vertical="center"/>
    </x:xf>
    <x:xf numFmtId="202" fontId="7" fillId="4" borderId="4" xfId="0" applyNumberFormat="1" applyFont="1" applyFill="1" applyBorder="1" applyAlignment="1">
      <x:alignment horizontal="right" vertical="center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6fda76a274e54" /><Relationship Type="http://schemas.openxmlformats.org/officeDocument/2006/relationships/theme" Target="/xl/theme/theme1.xml" Id="Re53e023d84eb4f2e" /><Relationship Type="http://schemas.openxmlformats.org/officeDocument/2006/relationships/sharedStrings" Target="/xl/sharedStrings.xml" Id="Ra368e171b808440b" /><Relationship Type="http://schemas.openxmlformats.org/officeDocument/2006/relationships/worksheet" Target="/xl/worksheets/sheet1.xml" Id="Rdcb9d8f8f8c043dd" /><Relationship Type="http://schemas.openxmlformats.org/officeDocument/2006/relationships/worksheet" Target="/xl/worksheets/sheet2.xml" Id="R496226a1a14142c9" /><Relationship Type="http://schemas.openxmlformats.org/officeDocument/2006/relationships/worksheet" Target="/xl/worksheets/sheet3.xml" Id="R55212071e5f549bb" /><Relationship Type="http://schemas.openxmlformats.org/officeDocument/2006/relationships/worksheet" Target="/xl/worksheets/sheet4.xml" Id="R09614e003c634913" /><Relationship Type="http://schemas.openxmlformats.org/officeDocument/2006/relationships/worksheet" Target="/xl/worksheets/sheet5.xml" Id="R88bdcb96ebcc4eab" /><Relationship Type="http://schemas.openxmlformats.org/officeDocument/2006/relationships/worksheet" Target="/xl/worksheets/sheet6.xml" Id="R3fff2a54a2ea4079" /><Relationship Type="http://schemas.openxmlformats.org/officeDocument/2006/relationships/worksheet" Target="/xl/worksheets/sheet7.xml" Id="R801a960f28d54314" /><Relationship Type="http://schemas.openxmlformats.org/officeDocument/2006/relationships/worksheet" Target="/xl/worksheets/sheet8.xml" Id="R1807bb74082b49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7.28515625" customWidth="1"/>
    <x:col min="4" max="4" width="25" hidden="0" customWidth="1"/>
    <x:col min="5" max="5" width="12" hidden="0" customWidth="1"/>
    <x:col min="6" max="6" width="8" hidden="0" customWidth="1"/>
  </x:cols>
  <x:sheetData>
    <x:row r="1">
      <x:c r="A1" s="1"/>
      <x:c r="B1" s="1"/>
      <x:c r="C1" s="1"/>
    </x:row>
    <x:row r="2" ht="22" customHeight="1">
      <x:c r="A2" t="s">
        <x:v>0</x:v>
      </x:c>
      <x:c r="B2" t="s">
        <x:v>1</x:v>
      </x:c>
      <x:c r="C2" t="s">
        <x:v>2</x:v>
      </x:c>
      <x:c r="D2" s="26" t="str">
        <x:v>Ergebnis</x:v>
      </x:c>
      <x:c r="E2" s="27"/>
      <x:c r="F2" s="28"/>
    </x:row>
    <x:row r="3" ht="26" customHeight="1">
      <x:c r="A3" t="s">
        <x:v>3</x:v>
      </x:c>
      <x:c r="B3">
        <x:v>0</x:v>
      </x:c>
      <x:c r="C3" t="s">
        <x:v>4</x:v>
      </x:c>
      <x:c r="D3" s="32" t="str">
        <x:v>Startstrecke über Hindernis</x:v>
      </x:c>
      <x:c r="E3" s="39" t="n">
        <x:f>Ergebnis!A2</x:f>
        <x:v>412</x:v>
      </x:c>
      <x:c r="F3" s="34" t="str">
        <x:v>m</x:v>
      </x:c>
    </x:row>
    <x:row r="4">
      <x:c r="A4" t="s">
        <x:v>5</x:v>
      </x:c>
      <x:c r="B4">
        <x:v>15</x:v>
      </x:c>
      <x:c r="C4" t="s">
        <x:v>6</x:v>
      </x:c>
    </x:row>
    <x:row r="5">
      <x:c r="A5" t="s">
        <x:v>7</x:v>
      </x:c>
      <x:c r="B5">
        <x:v>1150</x:v>
      </x:c>
      <x:c r="C5" t="s">
        <x:v>8</x:v>
      </x:c>
    </x:row>
    <x:row r="6">
      <x:c r="A6" t="s">
        <x:v>9</x:v>
      </x:c>
      <x:c r="B6">
        <x:v>0</x:v>
      </x:c>
      <x:c r="C6" t="s">
        <x:v>10</x:v>
      </x:c>
    </x:row>
    <x:row r="7">
      <x:c r="A7" t="s">
        <x:v>11</x:v>
      </x:c>
      <x:c r="B7">
        <x:v>50</x:v>
      </x:c>
      <x:c r="C7" t="s">
        <x:v>4</x:v>
      </x:c>
    </x:row>
    <x:row r="8">
      <x:c r="A8" t="str">
        <x:v>Gras / Höhe</x:v>
      </x:c>
      <x:c r="B8" t="str">
        <x:v>Kein Gras</x:v>
      </x:c>
      <x:c r="C8"/>
    </x:row>
    <x:row r="9">
      <x:c r="A9" t="str">
        <x:v>Nass</x:v>
      </x:c>
      <x:c r="B9" t="str">
        <x:v>Nein</x:v>
      </x:c>
      <x:c r="C9"/>
    </x:row>
    <x:row r="10">
      <x:c r="A10" t="str">
        <x:v>Steigung &gt; 2 %</x:v>
      </x:c>
      <x:c r="B10" t="str">
        <x:v>Nein</x:v>
      </x:c>
      <x:c r="C10"/>
    </x:row>
  </x:sheetData>
  <x:dataValidations count="3">
    <x:dataValidation type="list" sqref="B7">
      <x:formula1>"0,50"</x:formula1>
    </x:dataValidation>
    <x:dataValidation type="list" sqref="B8">
      <x:formula1>"Kein Gras,Gras &lt;5 cm,Gras 5-10 cm,Gras &gt;10 cm"</x:formula1>
    </x:dataValidation>
    <x:dataValidation type="list" sqref="B9:B10">
      <x:formula1>"Nein,Ja"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12</x:v>
      </x:c>
      <x:c r="B1" s="2">
        <x:v>-20</x:v>
      </x:c>
      <x:c r="C1" s="2">
        <x:v>-10</x:v>
      </x:c>
      <x:c r="D1" s="2">
        <x:v>0</x:v>
      </x:c>
      <x:c r="E1" s="2">
        <x:v>10</x:v>
      </x:c>
      <x:c r="F1" s="2">
        <x:v>20</x:v>
      </x:c>
      <x:c r="G1" s="2">
        <x:v>30</x:v>
      </x:c>
      <x:c r="H1" s="2">
        <x:v>40</x:v>
      </x:c>
      <x:c r="I1" s="2">
        <x:v>50</x:v>
      </x:c>
      <x:c r="J1" t="s">
        <x:v>13</x:v>
      </x:c>
    </x:row>
    <x:row r="2">
      <x:c r="A2">
        <x:v>0</x:v>
      </x:c>
      <x:c r="B2">
        <x:v>210</x:v>
      </x:c>
      <x:c r="C2">
        <x:v>230</x:v>
      </x:c>
      <x:c r="D2">
        <x:v>260</x:v>
      </x:c>
      <x:c r="E2">
        <x:v>280</x:v>
      </x:c>
      <x:c r="F2">
        <x:v>330</x:v>
      </x:c>
      <x:c r="G2">
        <x:v>360</x:v>
      </x:c>
      <x:c r="H2">
        <x:v>400</x:v>
      </x:c>
      <x:c r="I2">
        <x:v>440</x:v>
      </x:c>
    </x:row>
    <x:row r="3">
      <x:c r="A3">
        <x:v>2000</x:v>
      </x:c>
      <x:c r="B3">
        <x:v>270</x:v>
      </x:c>
      <x:c r="C3">
        <x:v>300</x:v>
      </x:c>
      <x:c r="D3">
        <x:v>330</x:v>
      </x:c>
      <x:c r="E3">
        <x:v>360</x:v>
      </x:c>
      <x:c r="F3">
        <x:v>410</x:v>
      </x:c>
      <x:c r="G3">
        <x:v>450</x:v>
      </x:c>
      <x:c r="H3">
        <x:v>500</x:v>
      </x:c>
      <x:c r="I3">
        <x:v>560</x:v>
      </x:c>
    </x:row>
    <x:row r="4">
      <x:c r="A4">
        <x:v>4000</x:v>
      </x:c>
      <x:c r="B4">
        <x:v>340</x:v>
      </x:c>
      <x:c r="C4">
        <x:v>370</x:v>
      </x:c>
      <x:c r="D4">
        <x:v>410</x:v>
      </x:c>
      <x:c r="E4">
        <x:v>450</x:v>
      </x:c>
      <x:c r="F4">
        <x:v>520</x:v>
      </x:c>
      <x:c r="G4">
        <x:v>580</x:v>
      </x:c>
      <x:c r="H4">
        <x:v>640</x:v>
      </x:c>
      <x:c r="I4">
        <x:v>700</x:v>
      </x:c>
    </x:row>
    <x:row r="5">
      <x:c r="A5">
        <x:v>6000</x:v>
      </x:c>
      <x:c r="B5">
        <x:v>410</x:v>
      </x:c>
      <x:c r="C5">
        <x:v>460</x:v>
      </x:c>
      <x:c r="D5">
        <x:v>520</x:v>
      </x:c>
      <x:c r="E5">
        <x:v>580</x:v>
      </x:c>
      <x:c r="F5">
        <x:v>660</x:v>
      </x:c>
      <x:c r="G5">
        <x:v>740</x:v>
      </x:c>
      <x:c r="H5">
        <x:v>840</x:v>
      </x:c>
      <x:c r="I5">
        <x:v>960</x:v>
      </x:c>
    </x:row>
    <x:row r="6">
      <x:c r="A6">
        <x:v>8000</x:v>
      </x:c>
      <x:c r="B6">
        <x:v>510</x:v>
      </x:c>
      <x:c r="C6">
        <x:v>600</x:v>
      </x:c>
      <x:c r="D6">
        <x:v>680</x:v>
      </x:c>
      <x:c r="E6">
        <x:v>770</x:v>
      </x:c>
      <x:c r="F6">
        <x:v>880</x:v>
      </x:c>
      <x:c r="G6">
        <x:v>1020</x:v>
      </x:c>
      <x:c r="H6">
        <x:v>1220</x:v>
      </x:c>
      <x:c r="I6">
        <x:v>1520</x:v>
      </x:c>
    </x:row>
    <x:row r="7">
      <x:c r="A7" t="n">
        <x:v>10000</x:v>
      </x:c>
      <x:c r="B7">
        <x:v>680</x:v>
      </x:c>
      <x:c r="C7">
        <x:v>780</x:v>
      </x:c>
      <x:c r="D7">
        <x:v>880</x:v>
      </x:c>
      <x:c r="E7">
        <x:v>1020</x:v>
      </x:c>
      <x:c r="F7">
        <x:v>1220</x:v>
      </x:c>
      <x:c r="G7">
        <x:v>1480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14</x:v>
      </x:c>
      <x:c r="B1" s="2">
        <x:v>100</x:v>
      </x:c>
      <x:c r="C1" s="2">
        <x:v>200</x:v>
      </x:c>
      <x:c r="D1" s="2">
        <x:v>300</x:v>
      </x:c>
      <x:c r="E1">
        <x:v>400</x:v>
      </x:c>
      <x:c r="F1">
        <x:v>500</x:v>
      </x:c>
      <x:c r="G1" s="2">
        <x:v>600</x:v>
      </x:c>
      <x:c r="H1">
        <x:v>700</x:v>
      </x:c>
      <x:c r="I1">
        <x:v>800</x:v>
      </x:c>
      <x:c r="J1" s="2">
        <x:v>900</x:v>
      </x:c>
      <x:c r="K1">
        <x:v>1000</x:v>
      </x:c>
      <x:c r="L1">
        <x:v>1100</x:v>
      </x:c>
      <x:c r="M1" s="2">
        <x:v>1200</x:v>
      </x:c>
      <x:c r="N1" t="s">
        <x:v>15</x:v>
      </x:c>
    </x:row>
    <x:row r="2">
      <x:c r="A2">
        <x:v>850</x:v>
      </x:c>
      <x:c r="B2">
        <x:v>100</x:v>
      </x:c>
      <x:c r="C2">
        <x:v>100</x:v>
      </x:c>
      <x:c r="D2">
        <x:v>100</x:v>
      </x:c>
      <x:c r="E2">
        <x:v>200</x:v>
      </x:c>
      <x:c r="F2">
        <x:v>230</x:v>
      </x:c>
      <x:c r="G2">
        <x:v>280</x:v>
      </x:c>
      <x:c r="H2">
        <x:v>310</x:v>
      </x:c>
      <x:c r="I2">
        <x:v>330</x:v>
      </x:c>
      <x:c r="J2">
        <x:v>360</x:v>
      </x:c>
      <x:c r="K2">
        <x:v>400</x:v>
      </x:c>
      <x:c r="L2">
        <x:v>430</x:v>
      </x:c>
      <x:c r="M2">
        <x:v>500</x:v>
      </x:c>
    </x:row>
    <x:row r="3">
      <x:c r="A3">
        <x:v>950</x:v>
      </x:c>
      <x:c r="B3">
        <x:v>100</x:v>
      </x:c>
      <x:c r="C3">
        <x:v>100</x:v>
      </x:c>
      <x:c r="D3">
        <x:v>140</x:v>
      </x:c>
      <x:c r="E3">
        <x:v>260</x:v>
      </x:c>
      <x:c r="F3">
        <x:v>300</x:v>
      </x:c>
      <x:c r="G3">
        <x:v>360</x:v>
      </x:c>
      <x:c r="H3">
        <x:v>400</x:v>
      </x:c>
      <x:c r="I3">
        <x:v>440</x:v>
      </x:c>
      <x:c r="J3">
        <x:v>480</x:v>
      </x:c>
      <x:c r="K3">
        <x:v>500</x:v>
      </x:c>
      <x:c r="L3">
        <x:v>580</x:v>
      </x:c>
      <x:c r="M3">
        <x:v>680</x:v>
      </x:c>
    </x:row>
    <x:row r="4">
      <x:c r="A4">
        <x:v>1050</x:v>
      </x:c>
      <x:c r="B4">
        <x:v>100</x:v>
      </x:c>
      <x:c r="C4">
        <x:v>110</x:v>
      </x:c>
      <x:c r="D4">
        <x:v>210</x:v>
      </x:c>
      <x:c r="E4">
        <x:v>300</x:v>
      </x:c>
      <x:c r="F4">
        <x:v>370</x:v>
      </x:c>
      <x:c r="G4">
        <x:v>430</x:v>
      </x:c>
      <x:c r="H4">
        <x:v>520</x:v>
      </x:c>
      <x:c r="I4">
        <x:v>590</x:v>
      </x:c>
      <x:c r="J4">
        <x:v>630</x:v>
      </x:c>
      <x:c r="K4">
        <x:v>680</x:v>
      </x:c>
      <x:c r="L4">
        <x:v>760</x:v>
      </x:c>
      <x:c r="M4">
        <x:v>860</x:v>
      </x:c>
    </x:row>
    <x:row r="5">
      <x:c r="A5">
        <x:v>1150</x:v>
      </x:c>
      <x:c r="B5">
        <x:v>100</x:v>
      </x:c>
      <x:c r="C5">
        <x:v>160</x:v>
      </x:c>
      <x:c r="D5">
        <x:v>260</x:v>
      </x:c>
      <x:c r="E5">
        <x:v>360</x:v>
      </x:c>
      <x:c r="F5">
        <x:v>440</x:v>
      </x:c>
      <x:c r="G5">
        <x:v>540</x:v>
      </x:c>
      <x:c r="H5">
        <x:v>610</x:v>
      </x:c>
      <x:c r="I5">
        <x:v>710</x:v>
      </x:c>
      <x:c r="J5">
        <x:v>780</x:v>
      </x:c>
      <x:c r="K5">
        <x:v>880</x:v>
      </x:c>
      <x:c r="L5">
        <x:v>980</x:v>
      </x:c>
      <x:c r="M5">
        <x:v>1180</x:v>
      </x:c>
    </x:row>
    <x:row r="6">
      <x:c r="A6">
        <x:v>1200</x:v>
      </x:c>
      <x:c r="B6">
        <x:v>100</x:v>
      </x:c>
      <x:c r="C6">
        <x:v>200</x:v>
      </x:c>
      <x:c r="D6">
        <x:v>300</x:v>
      </x:c>
      <x:c r="E6">
        <x:v>400</x:v>
      </x:c>
      <x:c r="F6">
        <x:v>500</x:v>
      </x:c>
      <x:c r="G6">
        <x:v>600</x:v>
      </x:c>
      <x:c r="H6">
        <x:v>700</x:v>
      </x:c>
      <x:c r="I6">
        <x:v>800</x:v>
      </x:c>
      <x:c r="J6">
        <x:v>900</x:v>
      </x:c>
      <x:c r="K6">
        <x:v>1000</x:v>
      </x:c>
      <x:c r="L6">
        <x:v>1100</x:v>
      </x:c>
      <x:c r="M6">
        <x:v>1200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16</x:v>
      </x:c>
      <x:c r="B1" s="3">
        <x:v>200</x:v>
      </x:c>
      <x:c r="C1" s="3">
        <x:v>300</x:v>
      </x:c>
      <x:c r="D1" s="4">
        <x:v>400</x:v>
      </x:c>
      <x:c r="E1" s="4">
        <x:v>500</x:v>
      </x:c>
      <x:c r="F1" s="3">
        <x:v>600</x:v>
      </x:c>
      <x:c r="G1" s="4">
        <x:v>700</x:v>
      </x:c>
      <x:c r="H1" s="4">
        <x:v>800</x:v>
      </x:c>
      <x:c r="I1" s="3">
        <x:v>900</x:v>
      </x:c>
      <x:c r="J1" s="4">
        <x:v>1000</x:v>
      </x:c>
      <x:c r="K1" s="4">
        <x:v>1100</x:v>
      </x:c>
      <x:c r="L1" s="3">
        <x:v>1200</x:v>
      </x:c>
      <x:c r="M1" t="s">
        <x:v>15</x:v>
      </x:c>
    </x:row>
    <x:row r="2">
      <x:c r="A2">
        <x:v>-5</x:v>
      </x:c>
      <x:c r="B2">
        <x:v>240</x:v>
      </x:c>
      <x:c r="C2">
        <x:v>350</x:v>
      </x:c>
      <x:c r="D2">
        <x:v>460</x:v>
      </x:c>
      <x:c r="E2">
        <x:v>570</x:v>
      </x:c>
      <x:c r="F2">
        <x:v>680</x:v>
      </x:c>
      <x:c r="G2">
        <x:v>790</x:v>
      </x:c>
      <x:c r="H2">
        <x:v>900</x:v>
      </x:c>
      <x:c r="I2">
        <x:v>1010</x:v>
      </x:c>
      <x:c r="J2">
        <x:v>1120</x:v>
      </x:c>
      <x:c r="K2">
        <x:v>1230</x:v>
      </x:c>
      <x:c r="L2">
        <x:v>1340</x:v>
      </x:c>
    </x:row>
    <x:row r="3">
      <x:c r="A3">
        <x:v>0</x:v>
      </x:c>
      <x:c r="B3">
        <x:v>200</x:v>
      </x:c>
      <x:c r="C3">
        <x:v>300</x:v>
      </x:c>
      <x:c r="D3">
        <x:v>400</x:v>
      </x:c>
      <x:c r="E3">
        <x:v>500</x:v>
      </x:c>
      <x:c r="F3">
        <x:v>600</x:v>
      </x:c>
      <x:c r="G3">
        <x:v>700</x:v>
      </x:c>
      <x:c r="H3">
        <x:v>800</x:v>
      </x:c>
      <x:c r="I3">
        <x:v>900</x:v>
      </x:c>
      <x:c r="J3">
        <x:v>1000</x:v>
      </x:c>
      <x:c r="K3">
        <x:v>1100</x:v>
      </x:c>
      <x:c r="L3">
        <x:v>1200</x:v>
      </x:c>
    </x:row>
    <x:row r="4">
      <x:c r="A4">
        <x:v>5</x:v>
      </x:c>
      <x:c r="B4">
        <x:v>170</x:v>
      </x:c>
      <x:c r="C4">
        <x:v>260</x:v>
      </x:c>
      <x:c r="D4">
        <x:v>340</x:v>
      </x:c>
      <x:c r="E4">
        <x:v>440</x:v>
      </x:c>
      <x:c r="F4">
        <x:v>520</x:v>
      </x:c>
      <x:c r="G4">
        <x:v>600</x:v>
      </x:c>
      <x:c r="H4">
        <x:v>680</x:v>
      </x:c>
      <x:c r="I4">
        <x:v>770</x:v>
      </x:c>
      <x:c r="J4">
        <x:v>860</x:v>
      </x:c>
      <x:c r="K4">
        <x:v>950</x:v>
      </x:c>
      <x:c r="L4">
        <x:v>1040</x:v>
      </x:c>
    </x:row>
    <x:row r="5">
      <x:c r="A5">
        <x:v>10</x:v>
      </x:c>
      <x:c r="B5">
        <x:v>140</x:v>
      </x:c>
      <x:c r="C5">
        <x:v>220</x:v>
      </x:c>
      <x:c r="D5">
        <x:v>290</x:v>
      </x:c>
      <x:c r="E5">
        <x:v>350</x:v>
      </x:c>
      <x:c r="F5">
        <x:v>440</x:v>
      </x:c>
      <x:c r="G5">
        <x:v>520</x:v>
      </x:c>
      <x:c r="H5">
        <x:v>580</x:v>
      </x:c>
      <x:c r="I5">
        <x:v>700</x:v>
      </x:c>
      <x:c r="J5">
        <x:v>730</x:v>
      </x:c>
      <x:c r="K5">
        <x:v>810</x:v>
      </x:c>
      <x:c r="L5">
        <x:v>900</x:v>
      </x:c>
    </x:row>
    <x:row r="6">
      <x:c r="A6">
        <x:v>15</x:v>
      </x:c>
      <x:c r="B6">
        <x:v>110</x:v>
      </x:c>
      <x:c r="C6">
        <x:v>170</x:v>
      </x:c>
      <x:c r="D6">
        <x:v>260</x:v>
      </x:c>
      <x:c r="E6">
        <x:v>310</x:v>
      </x:c>
      <x:c r="F6">
        <x:v>380</x:v>
      </x:c>
      <x:c r="G6">
        <x:v>440</x:v>
      </x:c>
      <x:c r="H6">
        <x:v>510</x:v>
      </x:c>
      <x:c r="I6">
        <x:v>600</x:v>
      </x:c>
      <x:c r="J6">
        <x:v>660</x:v>
      </x:c>
      <x:c r="K6">
        <x:v>750</x:v>
      </x:c>
      <x:c r="L6">
        <x:v>840</x:v>
      </x:c>
    </x:row>
    <x:row r="7">
      <x:c r="A7">
        <x:v>20</x:v>
      </x:c>
      <x:c r="B7">
        <x:v>100</x:v>
      </x:c>
      <x:c r="C7">
        <x:v>140</x:v>
      </x:c>
      <x:c r="D7">
        <x:v>160</x:v>
      </x:c>
      <x:c r="E7">
        <x:v>240</x:v>
      </x:c>
      <x:c r="F7">
        <x:v>320</x:v>
      </x:c>
      <x:c r="G7">
        <x:v>400</x:v>
      </x:c>
      <x:c r="H7">
        <x:v>460</x:v>
      </x:c>
      <x:c r="I7">
        <x:v>540</x:v>
      </x:c>
      <x:c r="J7">
        <x:v>600</x:v>
      </x:c>
      <x:c r="K7">
        <x:v>670</x:v>
      </x:c>
      <x:c r="L7">
        <x:v>740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17</x:v>
      </x:c>
      <x:c r="B1" s="2">
        <x:v>100</x:v>
      </x:c>
      <x:c r="C1" s="3">
        <x:v>200</x:v>
      </x:c>
      <x:c r="D1" s="3">
        <x:v>300</x:v>
      </x:c>
      <x:c r="E1" s="4">
        <x:v>400</x:v>
      </x:c>
      <x:c r="F1" s="4">
        <x:v>500</x:v>
      </x:c>
      <x:c r="G1" s="3">
        <x:v>600</x:v>
      </x:c>
      <x:c r="H1" s="4">
        <x:v>700</x:v>
      </x:c>
      <x:c r="I1" s="4">
        <x:v>800</x:v>
      </x:c>
      <x:c r="J1" s="3">
        <x:v>900</x:v>
      </x:c>
      <x:c r="K1" s="4">
        <x:v>1000</x:v>
      </x:c>
      <x:c r="L1" s="4">
        <x:v>1100</x:v>
      </x:c>
      <x:c r="M1" s="3">
        <x:v>1200</x:v>
      </x:c>
      <x:c r="N1" t="s">
        <x:v>15</x:v>
      </x:c>
    </x:row>
    <x:row r="2">
      <x:c r="A2">
        <x:v>0</x:v>
      </x:c>
      <x:c r="B2">
        <x:v>100</x:v>
      </x:c>
      <x:c r="C2">
        <x:v>200</x:v>
      </x:c>
      <x:c r="D2">
        <x:v>300</x:v>
      </x:c>
      <x:c r="E2">
        <x:v>400</x:v>
      </x:c>
      <x:c r="F2">
        <x:v>500</x:v>
      </x:c>
      <x:c r="G2">
        <x:v>600</x:v>
      </x:c>
      <x:c r="H2">
        <x:v>700</x:v>
      </x:c>
      <x:c r="I2">
        <x:v>800</x:v>
      </x:c>
      <x:c r="J2">
        <x:v>900</x:v>
      </x:c>
      <x:c r="K2">
        <x:v>1000</x:v>
      </x:c>
      <x:c r="L2">
        <x:v>1100</x:v>
      </x:c>
      <x:c r="M2">
        <x:v>1200</x:v>
      </x:c>
    </x:row>
    <x:row r="3">
      <x:c r="A3" t="n">
        <x:v>50</x:v>
      </x:c>
      <x:c r="B3">
        <x:v>220</x:v>
      </x:c>
      <x:c r="C3">
        <x:v>340</x:v>
      </x:c>
      <x:c r="D3">
        <x:v>450</x:v>
      </x:c>
      <x:c r="E3">
        <x:v>580</x:v>
      </x:c>
      <x:c r="F3">
        <x:v>740</x:v>
      </x:c>
      <x:c r="G3">
        <x:v>860</x:v>
      </x:c>
      <x:c r="H3">
        <x:v>1000</x:v>
      </x:c>
      <x:c r="I3">
        <x:v>1160</x:v>
      </x:c>
      <x:c r="J3">
        <x:v>1300</x:v>
      </x:c>
      <x:c r="K3">
        <x:v>1400</x:v>
      </x:c>
      <x:c r="L3">
        <x:v>1500</x:v>
      </x:c>
      <x:c r="M3">
        <x:v>1600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sheetData>
    <x:row r="1">
      <x:c r="A1" s="2" t="str">
        <x:v>Bedingung</x:v>
      </x:c>
      <x:c r="B1" s="2" t="str">
        <x:v>Multiplikator</x:v>
      </x:c>
    </x:row>
    <x:row r="2">
      <x:c r="A2" t="str">
        <x:v>Kein Gras</x:v>
      </x:c>
      <x:c r="B2" s="5" t="n">
        <x:v>1</x:v>
      </x:c>
    </x:row>
    <x:row r="3">
      <x:c r="A3" t="str">
        <x:v>Gras &lt;5 cm</x:v>
      </x:c>
      <x:c r="B3" s="5" t="n">
        <x:v>1.1</x:v>
      </x:c>
    </x:row>
    <x:row r="4">
      <x:c r="A4" t="str">
        <x:v>Gras 5-10 cm</x:v>
      </x:c>
      <x:c r="B4" s="5" t="n">
        <x:v>1.15</x:v>
      </x:c>
    </x:row>
    <x:row r="5">
      <x:c r="A5" t="str">
        <x:v>Gras &gt;10 cm</x:v>
      </x:c>
      <x:c r="B5" s="5" t="n">
        <x:v>1.25</x:v>
      </x:c>
    </x:row>
    <x:row r="6">
      <x:c r="A6" t="str">
        <x:v>Nass</x:v>
      </x:c>
      <x:c r="B6" s="5" t="n">
        <x:v>1.1</x:v>
      </x:c>
    </x:row>
    <x:row r="7">
      <x:c r="A7" t="str">
        <x:v>Steigung &gt;2%</x:v>
      </x:c>
      <x:c r="B7" s="5" t="n">
        <x:v>1.1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cols>
    <x:col min="1" max="1" width="34" hidden="0" customWidth="1"/>
    <x:col min="2" max="2" width="16" hidden="0" customWidth="1"/>
  </x:cols>
  <x:sheetData>
    <x:row r="1">
      <x:c r="A1" s="10" t="str">
        <x:v>Berechnung der Startstrecke</x:v>
      </x:c>
      <x:c r="B1" s="11"/>
    </x:row>
    <x:row r="2">
      <x:c r="A2" s="7" t="str">
        <x:v>Druckhöhe [ft]</x:v>
      </x:c>
      <x:c r="B2" s="7" t="n">
        <x:f>Eingaben!B3</x:f>
        <x:v>0</x:v>
      </x:c>
    </x:row>
    <x:row r="3">
      <x:c r="A3" s="7" t="str">
        <x:v>Außentemperatur [°C]</x:v>
      </x:c>
      <x:c r="B3" s="7" t="n">
        <x:f>Eingaben!B4</x:f>
        <x:v>15</x:v>
      </x:c>
    </x:row>
    <x:row r="4">
      <x:c r="A4" s="7" t="str">
        <x:v>Masse [kg]</x:v>
      </x:c>
      <x:c r="B4" s="7" t="n">
        <x:f>Eingaben!B5</x:f>
        <x:v>1150</x:v>
      </x:c>
    </x:row>
    <x:row r="5">
      <x:c r="A5" s="7" t="str">
        <x:v>Windkomponente [kt]</x:v>
      </x:c>
      <x:c r="B5" s="7" t="n">
        <x:f>Eingaben!B6</x:f>
        <x:v>0</x:v>
      </x:c>
    </x:row>
    <x:row r="6">
      <x:c r="A6" s="7" t="str">
        <x:v>Hindernishöhe [ft]</x:v>
      </x:c>
      <x:c r="B6" s="7" t="n">
        <x:f>Eingaben!B7</x:f>
        <x:v>50</x:v>
      </x:c>
    </x:row>
    <x:row r="7">
      <x:c r="A7" s="7"/>
      <x:c r="B7" s="7"/>
    </x:row>
    <x:row r="8">
      <x:c r="A8" s="13" t="str">
        <x:v>1. Basisstrecke: Druckhöhe und Temperatur</x:v>
      </x:c>
      <x:c r="B8" s="14"/>
    </x:row>
    <x:row r="9">
      <x:c r="A9" s="7" t="str">
        <x:v>Temperatur unten [°C]</x:v>
      </x:c>
      <x:c r="B9" s="7" t="n">
        <x:f>IF(OR(NOT(ISNUMBER(B2)),NOT(ISNUMBER(B3)),B2&lt;0,B2&gt;10000,B3&lt;-20,B3&gt;50,AND(B2&gt;8000,B3&gt;30)),"",INDEX(Lookup_Base!$B$1:$I$1,1,MATCH(B3,Lookup_Base!$B$1:$I$1,1)))</x:f>
        <x:v>10</x:v>
      </x:c>
    </x:row>
    <x:row r="10">
      <x:c r="A10" s="7" t="str">
        <x:v>Temperatur oben [°C]</x:v>
      </x:c>
      <x:c r="B10" s="7" t="n">
        <x:f>IF(NOT(ISNUMBER(B9)),"",IF(B9=B3,B3,INDEX(Lookup_Base!$B$1:$I$1,1,MATCH(B3,Lookup_Base!$B$1:$I$1,1)+1)))</x:f>
        <x:v>20</x:v>
      </x:c>
    </x:row>
    <x:row r="11">
      <x:c r="A11" s="7" t="str">
        <x:v>Druckhöhe unten [ft]</x:v>
      </x:c>
      <x:c r="B11" s="7" t="n">
        <x:f>IF(NOT(ISNUMBER(B9)),"",INDEX(Lookup_Base!$A$2:$A$7,MATCH(B2,Lookup_Base!$A$2:$A$7,1)))</x:f>
        <x:v>0</x:v>
      </x:c>
    </x:row>
    <x:row r="12">
      <x:c r="A12" s="7" t="str">
        <x:v>Druckhöhe oben [ft]</x:v>
      </x:c>
      <x:c r="B12" s="7" t="n">
        <x:f>IF(NOT(ISNUMBER(B11)),"",IF(B11=B2,B2,INDEX(Lookup_Base!$A$2:$A$7,MATCH(B2,Lookup_Base!$A$2:$A$7,1)+1)))</x:f>
        <x:v>0</x:v>
      </x:c>
    </x:row>
    <x:row r="13">
      <x:c r="A13" s="7" t="str">
        <x:v>Basisstrecke [m]</x:v>
      </x:c>
      <x:c r="B13" s="15" t="n">
        <x:f>IF(OR(NOT(ISNUMBER(B9)),NOT(ISNUMBER(B10)),NOT(ISNUMBER(B11)),NOT(ISNUMBER(B12))),"",IF(B12=B11,IF(B10=B9,INDEX(Lookup_Base!$B$2:$I$7,MATCH(B11,Lookup_Base!$A$2:$A$7,0),MATCH(B9,Lookup_Base!$B$1:$I$1,0)),INDEX(Lookup_Base!$B$2:$I$7,MATCH(B11,Lookup_Base!$A$2:$A$7,0),MATCH(B9,Lookup_Base!$B$1:$I$1,0))+(B3-B9)/(B10-B9)*(INDEX(Lookup_Base!$B$2:$I$7,MATCH(B11,Lookup_Base!$A$2:$A$7,0),MATCH(B10,Lookup_Base!$B$1:$I$1,0))-INDEX(Lookup_Base!$B$2:$I$7,MATCH(B11,Lookup_Base!$A$2:$A$7,0),MATCH(B9,Lookup_Base!$B$1:$I$1,0)))),IF(B10=B9,INDEX(Lookup_Base!$B$2:$I$7,MATCH(B11,Lookup_Base!$A$2:$A$7,0),MATCH(B9,Lookup_Base!$B$1:$I$1,0)),INDEX(Lookup_Base!$B$2:$I$7,MATCH(B11,Lookup_Base!$A$2:$A$7,0),MATCH(B9,Lookup_Base!$B$1:$I$1,0))+(B3-B9)/(B10-B9)*(INDEX(Lookup_Base!$B$2:$I$7,MATCH(B11,Lookup_Base!$A$2:$A$7,0),MATCH(B10,Lookup_Base!$B$1:$I$1,0))-INDEX(Lookup_Base!$B$2:$I$7,MATCH(B11,Lookup_Base!$A$2:$A$7,0),MATCH(B9,Lookup_Base!$B$1:$I$1,0))))+(B2-B11)/(B12-B11)*(IF(B10=B9,INDEX(Lookup_Base!$B$2:$I$7,MATCH(B12,Lookup_Base!$A$2:$A$7,0),MATCH(B9,Lookup_Base!$B$1:$I$1,0)),INDEX(Lookup_Base!$B$2:$I$7,MATCH(B12,Lookup_Base!$A$2:$A$7,0),MATCH(B9,Lookup_Base!$B$1:$I$1,0))+(B3-B9)/(B10-B9)*(INDEX(Lookup_Base!$B$2:$I$7,MATCH(B12,Lookup_Base!$A$2:$A$7,0),MATCH(B10,Lookup_Base!$B$1:$I$1,0))-INDEX(Lookup_Base!$B$2:$I$7,MATCH(B12,Lookup_Base!$A$2:$A$7,0),MATCH(B9,Lookup_Base!$B$1:$I$1,0))))-IF(B10=B9,INDEX(Lookup_Base!$B$2:$I$7,MATCH(B11,Lookup_Base!$A$2:$A$7,0),MATCH(B9,Lookup_Base!$B$1:$I$1,0)),INDEX(Lookup_Base!$B$2:$I$7,MATCH(B11,Lookup_Base!$A$2:$A$7,0),MATCH(B9,Lookup_Base!$B$1:$I$1,0))+(B3-B9)/(B10-B9)*(INDEX(Lookup_Base!$B$2:$I$7,MATCH(B11,Lookup_Base!$A$2:$A$7,0),MATCH(B10,Lookup_Base!$B$1:$I$1,0))-INDEX(Lookup_Base!$B$2:$I$7,MATCH(B11,Lookup_Base!$A$2:$A$7,0),MATCH(B9,Lookup_Base!$B$1:$I$1,0)))))))</x:f>
        <x:v>305</x:v>
      </x:c>
    </x:row>
    <x:row r="14">
      <x:c r="A14" s="7"/>
      <x:c r="B14" s="7"/>
    </x:row>
    <x:row r="15">
      <x:c r="A15" s="7"/>
      <x:c r="B15" s="7"/>
    </x:row>
    <x:row r="16">
      <x:c r="A16" s="13" t="str">
        <x:v>2. Massenkorrektur</x:v>
      </x:c>
      <x:c r="B16" s="14"/>
    </x:row>
    <x:row r="17">
      <x:c r="A17" s="7" t="str">
        <x:v>Strecke unten [m]</x:v>
      </x:c>
      <x:c r="B17" s="7" t="n">
        <x:f>IF(OR(NOT(ISNUMBER(B13)),NOT(ISNUMBER(B4)),B13&lt;100,B13&gt;1200,B4&lt;850,B4&gt;1200),"",INDEX(Lookup_Masse!$B$1:$M$1,1,MATCH(B13,Lookup_Masse!$B$1:$M$1,1)))</x:f>
        <x:v>300</x:v>
      </x:c>
    </x:row>
    <x:row r="18">
      <x:c r="A18" s="7" t="str">
        <x:v>Strecke oben [m]</x:v>
      </x:c>
      <x:c r="B18" s="7" t="n">
        <x:f>IF(NOT(ISNUMBER(B17)),"",IF(B17=B13,B13,INDEX(Lookup_Masse!$B$1:$M$1,1,MATCH(B13,Lookup_Masse!$B$1:$M$1,1)+1)))</x:f>
        <x:v>400</x:v>
      </x:c>
    </x:row>
    <x:row r="19">
      <x:c r="A19" s="7" t="str">
        <x:v>Masse unten [kg]</x:v>
      </x:c>
      <x:c r="B19" s="7" t="n">
        <x:f>IF(NOT(ISNUMBER(B17)),"",INDEX(Lookup_Masse!$A$2:$A$6,MATCH(B4,Lookup_Masse!$A$2:$A$6,1)))</x:f>
        <x:v>1150</x:v>
      </x:c>
    </x:row>
    <x:row r="20">
      <x:c r="A20" s="7" t="str">
        <x:v>Masse oben [kg]</x:v>
      </x:c>
      <x:c r="B20" s="7" t="n">
        <x:f>IF(NOT(ISNUMBER(B19)),"",IF(B19=B4,B4,INDEX(Lookup_Masse!$A$2:$A$6,MATCH(B4,Lookup_Masse!$A$2:$A$6,1)+1)))</x:f>
        <x:v>1150</x:v>
      </x:c>
    </x:row>
    <x:row r="21">
      <x:c r="A21" s="7" t="str">
        <x:v>Strecke nach Masse [m]</x:v>
      </x:c>
      <x:c r="B21" s="7" t="n">
        <x:f>IF(OR(NOT(ISNUMBER(B17)),NOT(ISNUMBER(B18)),NOT(ISNUMBER(B19)),NOT(ISNUMBER(B20))),"",IF(B20=B19,IF(B18=B17,INDEX(Lookup_Masse!$B$2:$M$6,MATCH(B19,Lookup_Masse!$A$2:$A$6,0),MATCH(B17,Lookup_Masse!$B$1:$M$1,0)),INDEX(Lookup_Masse!$B$2:$M$6,MATCH(B19,Lookup_Masse!$A$2:$A$6,0),MATCH(B17,Lookup_Masse!$B$1:$M$1,0))+(B13-B17)/(B18-B17)*(INDEX(Lookup_Masse!$B$2:$M$6,MATCH(B19,Lookup_Masse!$A$2:$A$6,0),MATCH(B18,Lookup_Masse!$B$1:$M$1,0))-INDEX(Lookup_Masse!$B$2:$M$6,MATCH(B19,Lookup_Masse!$A$2:$A$6,0),MATCH(B17,Lookup_Masse!$B$1:$M$1,0)))),IF(B18=B17,INDEX(Lookup_Masse!$B$2:$M$6,MATCH(B19,Lookup_Masse!$A$2:$A$6,0),MATCH(B17,Lookup_Masse!$B$1:$M$1,0)),INDEX(Lookup_Masse!$B$2:$M$6,MATCH(B19,Lookup_Masse!$A$2:$A$6,0),MATCH(B17,Lookup_Masse!$B$1:$M$1,0))+(B13-B17)/(B18-B17)*(INDEX(Lookup_Masse!$B$2:$M$6,MATCH(B19,Lookup_Masse!$A$2:$A$6,0),MATCH(B18,Lookup_Masse!$B$1:$M$1,0))-INDEX(Lookup_Masse!$B$2:$M$6,MATCH(B19,Lookup_Masse!$A$2:$A$6,0),MATCH(B17,Lookup_Masse!$B$1:$M$1,0))))+(B4-B19)/(B20-B19)*(IF(B18=B17,INDEX(Lookup_Masse!$B$2:$M$6,MATCH(B20,Lookup_Masse!$A$2:$A$6,0),MATCH(B17,Lookup_Masse!$B$1:$M$1,0)),INDEX(Lookup_Masse!$B$2:$M$6,MATCH(B20,Lookup_Masse!$A$2:$A$6,0),MATCH(B17,Lookup_Masse!$B$1:$M$1,0))+(B13-B17)/(B18-B17)*(INDEX(Lookup_Masse!$B$2:$M$6,MATCH(B20,Lookup_Masse!$A$2:$A$6,0),MATCH(B18,Lookup_Masse!$B$1:$M$1,0))-INDEX(Lookup_Masse!$B$2:$M$6,MATCH(B20,Lookup_Masse!$A$2:$A$6,0),MATCH(B17,Lookup_Masse!$B$1:$M$1,0))))-IF(B18=B17,INDEX(Lookup_Masse!$B$2:$M$6,MATCH(B19,Lookup_Masse!$A$2:$A$6,0),MATCH(B17,Lookup_Masse!$B$1:$M$1,0)),INDEX(Lookup_Masse!$B$2:$M$6,MATCH(B19,Lookup_Masse!$A$2:$A$6,0),MATCH(B17,Lookup_Masse!$B$1:$M$1,0))+(B13-B17)/(B18-B17)*(INDEX(Lookup_Masse!$B$2:$M$6,MATCH(B19,Lookup_Masse!$A$2:$A$6,0),MATCH(B18,Lookup_Masse!$B$1:$M$1,0))-INDEX(Lookup_Masse!$B$2:$M$6,MATCH(B19,Lookup_Masse!$A$2:$A$6,0),MATCH(B17,Lookup_Masse!$B$1:$M$1,0)))))))</x:f>
        <x:v>265</x:v>
      </x:c>
    </x:row>
    <x:row r="22">
      <x:c r="A22" s="7"/>
      <x:c r="B22" s="7"/>
    </x:row>
    <x:row r="23">
      <x:c r="A23" s="7"/>
      <x:c r="B23" s="7"/>
    </x:row>
    <x:row r="24">
      <x:c r="A24" s="13" t="str">
        <x:v>3. Windkorrektur</x:v>
      </x:c>
      <x:c r="B24" s="14"/>
    </x:row>
    <x:row r="25">
      <x:c r="A25" s="7" t="str">
        <x:v>Strecke unten [m]</x:v>
      </x:c>
      <x:c r="B25" s="7" t="n">
        <x:f>IF(OR(NOT(ISNUMBER(B21)),NOT(ISNUMBER(B5)),B21&lt;200,B21&gt;1200,B5&lt;-5,B5&gt;20),"",INDEX(Lookup_Wind!$B$1:$L$1,1,MATCH(B21,Lookup_Wind!$B$1:$L$1,1)))</x:f>
        <x:v>200</x:v>
      </x:c>
    </x:row>
    <x:row r="26">
      <x:c r="A26" s="7" t="str">
        <x:v>Strecke oben [m]</x:v>
      </x:c>
      <x:c r="B26" s="7" t="n">
        <x:f>IF(NOT(ISNUMBER(B25)),"",IF(B25=B21,B21,INDEX(Lookup_Wind!$B$1:$L$1,1,MATCH(B21,Lookup_Wind!$B$1:$L$1,1)+1)))</x:f>
        <x:v>300</x:v>
      </x:c>
    </x:row>
    <x:row r="27">
      <x:c r="A27" s="7" t="str">
        <x:v>Wind unten [kt]</x:v>
      </x:c>
      <x:c r="B27" s="7" t="n">
        <x:f>IF(NOT(ISNUMBER(B25)),"",INDEX(Lookup_Wind!$A$2:$A$7,MATCH(B5,Lookup_Wind!$A$2:$A$7,1)))</x:f>
        <x:v>0</x:v>
      </x:c>
    </x:row>
    <x:row r="28">
      <x:c r="A28" s="7" t="str">
        <x:v>Wind oben [kt]</x:v>
      </x:c>
      <x:c r="B28" s="7" t="n">
        <x:f>IF(NOT(ISNUMBER(B27)),"",IF(B27=B5,B5,INDEX(Lookup_Wind!$A$2:$A$7,MATCH(B5,Lookup_Wind!$A$2:$A$7,1)+1)))</x:f>
        <x:v>0</x:v>
      </x:c>
    </x:row>
    <x:row r="29">
      <x:c r="A29" s="7" t="str">
        <x:v>Strecke nach Wind [m]</x:v>
      </x:c>
      <x:c r="B29" s="7" t="n">
        <x:f>IF(OR(NOT(ISNUMBER(B25)),NOT(ISNUMBER(B26)),NOT(ISNUMBER(B27)),NOT(ISNUMBER(B28))),"",IF(B28=B27,IF(B26=B25,INDEX(Lookup_Wind!$B$2:$L$7,MATCH(B27,Lookup_Wind!$A$2:$A$7,0),MATCH(B25,Lookup_Wind!$B$1:$L$1,0)),INDEX(Lookup_Wind!$B$2:$L$7,MATCH(B27,Lookup_Wind!$A$2:$A$7,0),MATCH(B25,Lookup_Wind!$B$1:$L$1,0))+(B21-B25)/(B26-B25)*(INDEX(Lookup_Wind!$B$2:$L$7,MATCH(B27,Lookup_Wind!$A$2:$A$7,0),MATCH(B26,Lookup_Wind!$B$1:$L$1,0))-INDEX(Lookup_Wind!$B$2:$L$7,MATCH(B27,Lookup_Wind!$A$2:$A$7,0),MATCH(B25,Lookup_Wind!$B$1:$L$1,0)))),IF(B26=B25,INDEX(Lookup_Wind!$B$2:$L$7,MATCH(B27,Lookup_Wind!$A$2:$A$7,0),MATCH(B25,Lookup_Wind!$B$1:$L$1,0)),INDEX(Lookup_Wind!$B$2:$L$7,MATCH(B27,Lookup_Wind!$A$2:$A$7,0),MATCH(B25,Lookup_Wind!$B$1:$L$1,0))+(B21-B25)/(B26-B25)*(INDEX(Lookup_Wind!$B$2:$L$7,MATCH(B27,Lookup_Wind!$A$2:$A$7,0),MATCH(B26,Lookup_Wind!$B$1:$L$1,0))-INDEX(Lookup_Wind!$B$2:$L$7,MATCH(B27,Lookup_Wind!$A$2:$A$7,0),MATCH(B25,Lookup_Wind!$B$1:$L$1,0))))+(B5-B27)/(B28-B27)*(IF(B26=B25,INDEX(Lookup_Wind!$B$2:$L$7,MATCH(B28,Lookup_Wind!$A$2:$A$7,0),MATCH(B25,Lookup_Wind!$B$1:$L$1,0)),INDEX(Lookup_Wind!$B$2:$L$7,MATCH(B28,Lookup_Wind!$A$2:$A$7,0),MATCH(B25,Lookup_Wind!$B$1:$L$1,0))+(B21-B25)/(B26-B25)*(INDEX(Lookup_Wind!$B$2:$L$7,MATCH(B28,Lookup_Wind!$A$2:$A$7,0),MATCH(B26,Lookup_Wind!$B$1:$L$1,0))-INDEX(Lookup_Wind!$B$2:$L$7,MATCH(B28,Lookup_Wind!$A$2:$A$7,0),MATCH(B25,Lookup_Wind!$B$1:$L$1,0))))-IF(B26=B25,INDEX(Lookup_Wind!$B$2:$L$7,MATCH(B27,Lookup_Wind!$A$2:$A$7,0),MATCH(B25,Lookup_Wind!$B$1:$L$1,0)),INDEX(Lookup_Wind!$B$2:$L$7,MATCH(B27,Lookup_Wind!$A$2:$A$7,0),MATCH(B25,Lookup_Wind!$B$1:$L$1,0))+(B21-B25)/(B26-B25)*(INDEX(Lookup_Wind!$B$2:$L$7,MATCH(B27,Lookup_Wind!$A$2:$A$7,0),MATCH(B26,Lookup_Wind!$B$1:$L$1,0))-INDEX(Lookup_Wind!$B$2:$L$7,MATCH(B27,Lookup_Wind!$A$2:$A$7,0),MATCH(B25,Lookup_Wind!$B$1:$L$1,0)))))))</x:f>
        <x:v>265</x:v>
      </x:c>
    </x:row>
    <x:row r="30">
      <x:c r="A30" s="7"/>
      <x:c r="B30" s="7"/>
    </x:row>
    <x:row r="31">
      <x:c r="A31" s="7"/>
      <x:c r="B31" s="7"/>
    </x:row>
    <x:row r="32">
      <x:c r="A32" s="13" t="str">
        <x:v>4. Hinderniskorrektur</x:v>
      </x:c>
      <x:c r="B32" s="14"/>
    </x:row>
    <x:row r="33">
      <x:c r="A33" s="7" t="str">
        <x:v>Strecke unten [m]</x:v>
      </x:c>
      <x:c r="B33" s="7" t="n">
        <x:f>IF(OR(NOT(ISNUMBER(B29)),NOT(ISNUMBER(B6)),B29&lt;100,B29&gt;1200,B6&lt;0,B6&gt;50),"",INDEX(Lookup_Hindernis!$B$1:$M$1,1,MATCH(B29,Lookup_Hindernis!$B$1:$M$1,1)))</x:f>
        <x:v>200</x:v>
      </x:c>
    </x:row>
    <x:row r="34">
      <x:c r="A34" s="7" t="str">
        <x:v>Strecke oben [m]</x:v>
      </x:c>
      <x:c r="B34" s="7" t="n">
        <x:f>IF(NOT(ISNUMBER(B33)),"",IF(B33=B29,B29,INDEX(Lookup_Hindernis!$B$1:$M$1,1,MATCH(B29,Lookup_Hindernis!$B$1:$M$1,1)+1)))</x:f>
        <x:v>300</x:v>
      </x:c>
    </x:row>
    <x:row r="35">
      <x:c r="A35" s="7" t="str">
        <x:v>Hindernis unten [ft]</x:v>
      </x:c>
      <x:c r="B35" s="7" t="n">
        <x:f>IF(NOT(ISNUMBER(B33)),"",INDEX(Lookup_Hindernis!$A$2:$A$3,MATCH(B6,Lookup_Hindernis!$A$2:$A$3,1)))</x:f>
        <x:v>50</x:v>
      </x:c>
    </x:row>
    <x:row r="36">
      <x:c r="A36" s="7" t="str">
        <x:v>Hindernis oben [ft]</x:v>
      </x:c>
      <x:c r="B36" s="7" t="n">
        <x:f>IF(NOT(ISNUMBER(B35)),"",IF(B35=B6,B6,INDEX(Lookup_Hindernis!$A$2:$A$3,MATCH(B6,Lookup_Hindernis!$A$2:$A$3,1)+1)))</x:f>
        <x:v>50</x:v>
      </x:c>
    </x:row>
    <x:row r="37">
      <x:c r="A37" s="7" t="str">
        <x:v>Strecke über Hindernis [m]</x:v>
      </x:c>
      <x:c r="B37" s="7" t="n">
        <x:f>IF(OR(NOT(ISNUMBER(B29)),B29&lt;100,B29&gt;1200),"",IF(B6=0,B29,IF(B6=50,IF(B34=B33,INDEX(Lookup_Hindernis!$B$3:$M$3,1,MATCH(B33,Lookup_Hindernis!$B$1:$M$1,0)),INDEX(Lookup_Hindernis!$B$3:$M$3,1,MATCH(B33,Lookup_Hindernis!$B$1:$M$1,0))+(B29-B33)/(B34-B33)*(INDEX(Lookup_Hindernis!$B$3:$M$3,1,MATCH(B34,Lookup_Hindernis!$B$1:$M$1,0))-INDEX(Lookup_Hindernis!$B$3:$M$3,1,MATCH(B33,Lookup_Hindernis!$B$1:$M$1,0)))),"")))</x:f>
        <x:v>411.5</x:v>
      </x:c>
    </x:row>
    <x:row r="38">
      <x:c r="A38" s="7"/>
      <x:c r="B38" s="7"/>
    </x:row>
    <x:row r="39">
      <x:c r="A39" s="7"/>
      <x:c r="B39" s="7"/>
    </x:row>
    <x:row r="40">
      <x:c r="A40" s="13" t="str">
        <x:v>5. Zuschläge</x:v>
      </x:c>
      <x:c r="B40" s="14"/>
    </x:row>
    <x:row r="41">
      <x:c r="A41" s="7" t="str">
        <x:v>Grasfaktor</x:v>
      </x:c>
      <x:c r="B41" s="16" t="n">
        <x:f>IF(Eingaben!B8="","",VLOOKUP(Eingaben!B8,Korrekturen!$A$2:$B$5,2,FALSE))</x:f>
        <x:v>1</x:v>
      </x:c>
    </x:row>
    <x:row r="42">
      <x:c r="A42" s="7" t="str">
        <x:v>Nässefaktor</x:v>
      </x:c>
      <x:c r="B42" s="16" t="n">
        <x:f>IF(Eingaben!B9="Ja",Korrekturen!$B$6,1)</x:f>
        <x:v>1</x:v>
      </x:c>
    </x:row>
    <x:row r="43">
      <x:c r="A43" s="7" t="str">
        <x:v>Steigungsfaktor</x:v>
      </x:c>
      <x:c r="B43" s="16" t="n">
        <x:f>IF(Eingaben!B10="Ja",Korrekturen!$B$7,1)</x:f>
        <x:v>1</x:v>
      </x:c>
    </x:row>
    <x:row r="44">
      <x:c r="A44" s="7" t="str">
        <x:v>Endgültige Startstrecke [m]</x:v>
      </x:c>
      <x:c r="B44" s="7" t="n">
        <x:f>IF(OR(NOT(ISNUMBER(B37)),NOT(ISNUMBER(B41)),NOT(ISNUMBER(B42)),NOT(ISNUMBER(B43))),"",ROUND(B37*B41*B42*B43,0))</x:f>
        <x:v>412</x:v>
      </x:c>
    </x:row>
    <x:row r="45">
      <x:c r="A45" s="7"/>
      <x:c r="B45" s="7"/>
    </x:row>
    <x:row r="46">
      <x:c r="A46" s="7"/>
      <x:c r="B46" s="7"/>
    </x:row>
    <x:row r="47">
      <x:c r="A47" s="7"/>
      <x:c r="B47" s="7"/>
    </x:row>
    <x:row r="48">
      <x:c r="A48" s="7"/>
      <x:c r="B48" s="7"/>
    </x:row>
    <x:row r="49">
      <x:c r="A49" s="7"/>
      <x:c r="B49" s="7"/>
    </x:row>
    <x:row r="50">
      <x:c r="A50" s="7"/>
      <x:c r="B50" s="7"/>
    </x:row>
    <x:row r="51">
      <x:c r="A51" s="7"/>
      <x:c r="B51" s="7"/>
    </x:row>
    <x:row r="52">
      <x:c r="A52" s="7"/>
      <x:c r="B52" s="7"/>
    </x:row>
    <x:row r="53">
      <x:c r="A53" s="7"/>
      <x:c r="B53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sheetData>
    <x:row r="1">
      <x:c r="A1" t="str">
        <x:v>Endgültige Startstrecke [m]</x:v>
      </x:c>
    </x:row>
    <x:row r="2">
      <x:c r="A2" s="17" t="n">
        <x:f>Berechnung!B44</x:f>
        <x:v>412</x:v>
      </x:c>
    </x:row>
  </x:sheetData>
  <x:pageMargins left="0.7" right="0.7" top="0.75" bottom="0.75" header="0.3" footer="0.3"/>
</x:worksheet>
</file>